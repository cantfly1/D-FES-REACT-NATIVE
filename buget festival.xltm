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roum\Documents\GitHub\D-FES-200-PAR7\"/>
    </mc:Choice>
  </mc:AlternateContent>
  <xr:revisionPtr revIDLastSave="0" documentId="13_ncr:40009_{DAB9B615-5139-4790-B972-90D24C2E6453}" xr6:coauthVersionLast="47" xr6:coauthVersionMax="47" xr10:uidLastSave="{00000000-0000-0000-0000-000000000000}"/>
  <bookViews>
    <workbookView xWindow="-108" yWindow="-108" windowWidth="23256" windowHeight="12456"/>
  </bookViews>
  <sheets>
    <sheet name="Feuil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2" i="1" l="1"/>
  <c r="D26" i="1"/>
  <c r="H26" i="1"/>
  <c r="J25" i="1"/>
  <c r="J24" i="1"/>
  <c r="J23" i="1"/>
  <c r="D22" i="1"/>
  <c r="H17" i="1"/>
  <c r="J21" i="1"/>
  <c r="J20" i="1"/>
  <c r="J19" i="1"/>
  <c r="F17" i="1"/>
  <c r="J18" i="1"/>
  <c r="D17" i="1"/>
  <c r="F16" i="1"/>
  <c r="F12" i="1"/>
  <c r="J16" i="1"/>
  <c r="J15" i="1"/>
  <c r="J14" i="1"/>
  <c r="D13" i="1"/>
  <c r="D12" i="1"/>
  <c r="J13" i="1"/>
  <c r="H12" i="1"/>
  <c r="F7" i="1"/>
  <c r="F26" i="1" s="1"/>
  <c r="D7" i="1"/>
  <c r="J11" i="1"/>
  <c r="J10" i="1"/>
  <c r="J9" i="1"/>
  <c r="J8" i="1"/>
  <c r="J7" i="1" l="1"/>
  <c r="J26" i="1"/>
  <c r="J17" i="1"/>
  <c r="J12" i="1"/>
  <c r="H22" i="1" l="1"/>
  <c r="J22" i="1"/>
</calcChain>
</file>

<file path=xl/sharedStrings.xml><?xml version="1.0" encoding="utf-8"?>
<sst xmlns="http://schemas.openxmlformats.org/spreadsheetml/2006/main" count="27" uniqueCount="27">
  <si>
    <t>Budget Marketing 3 Mois</t>
  </si>
  <si>
    <t>Postes de dépense</t>
  </si>
  <si>
    <t>1er trimestre</t>
  </si>
  <si>
    <t>Janvier</t>
  </si>
  <si>
    <t>Février</t>
  </si>
  <si>
    <t>Mars</t>
  </si>
  <si>
    <t xml:space="preserve">Total </t>
  </si>
  <si>
    <t>Salaires</t>
  </si>
  <si>
    <t>Salaires 1</t>
  </si>
  <si>
    <t>Salaires 2</t>
  </si>
  <si>
    <t>Salaires 3</t>
  </si>
  <si>
    <t>Salaires 4</t>
  </si>
  <si>
    <t>Achats</t>
  </si>
  <si>
    <t>Pc portable</t>
  </si>
  <si>
    <t>Billets</t>
  </si>
  <si>
    <t>Bracelets</t>
  </si>
  <si>
    <t>Téléphones</t>
  </si>
  <si>
    <t>Autres</t>
  </si>
  <si>
    <t>Hébergement /maintenace</t>
  </si>
  <si>
    <t>Maintenance site internet</t>
  </si>
  <si>
    <t>Maintenance du back office</t>
  </si>
  <si>
    <t>Hébergement site internet</t>
  </si>
  <si>
    <t>Hébergement back office</t>
  </si>
  <si>
    <t>Charges diverse</t>
  </si>
  <si>
    <t>Loyer</t>
  </si>
  <si>
    <t>Publicité réseaux sociaux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</si>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</sst>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#,##0.00\ [$€-1]"/>
  </numFmts>
  <fonts count="7" x14ac:knownFonts="1">
    <font>
      <sz val="11"/>
      <color theme="1"/>
      <name val="Calibri"/>
      <family val="2"/>
      <scheme val="minor"/>
    </font>
    <font>
      <b/>
      <sz val="25"/>
      <color rgb="FF2F5496"/>
      <name val="Calibri"/>
    </font>
    <font>
      <b/>
      <sz val="20"/>
      <color rgb="FF000000"/>
      <name val="Calibri"/>
    </font>
    <font>
      <sz val="12"/>
      <name val="Calibri"/>
    </font>
    <font>
      <b/>
      <sz val="12"/>
      <color rgb="FF000000"/>
      <name val="Calibri"/>
    </font>
    <font>
      <b/>
      <sz val="12"/>
      <color rgb="FFFFFFFF"/>
      <name val="Calibri"/>
    </font>
    <font>
      <sz val="12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8EAADB"/>
        <bgColor rgb="FF8EAADB"/>
      </patternFill>
    </fill>
    <fill>
      <patternFill patternType="solid">
        <fgColor rgb="FF833C0B"/>
        <bgColor rgb="FF833C0B"/>
      </patternFill>
    </fill>
    <fill>
      <patternFill patternType="solid">
        <fgColor rgb="FFC55A11"/>
        <bgColor rgb="FFC55A11"/>
      </patternFill>
    </fill>
    <fill>
      <patternFill patternType="solid">
        <fgColor rgb="FFF7CAAC"/>
        <bgColor rgb="FFF7CAAC"/>
      </patternFill>
    </fill>
    <fill>
      <patternFill patternType="solid">
        <fgColor rgb="FFF4B083"/>
        <bgColor rgb="FFF4B083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4C6E7"/>
        <bgColor rgb="FFB4C6E7"/>
      </patternFill>
    </fill>
  </fills>
  <borders count="16">
    <border>
      <left/>
      <right/>
      <top/>
      <bottom/>
      <diagonal/>
    </border>
    <border>
      <left style="medium">
        <color rgb="FF1F3864"/>
      </left>
      <right/>
      <top style="medium">
        <color rgb="FF1F3864"/>
      </top>
      <bottom/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/>
      <top/>
      <bottom style="medium">
        <color rgb="FF1F3864"/>
      </bottom>
      <diagonal/>
    </border>
    <border>
      <left/>
      <right/>
      <top/>
      <bottom style="medium">
        <color rgb="FF1F3864"/>
      </bottom>
      <diagonal/>
    </border>
    <border>
      <left/>
      <right style="medium">
        <color rgb="FF1F3864"/>
      </right>
      <top/>
      <bottom style="medium">
        <color rgb="FF1F3864"/>
      </bottom>
      <diagonal/>
    </border>
    <border>
      <left style="medium">
        <color rgb="FF1F3864"/>
      </left>
      <right/>
      <top style="medium">
        <color rgb="FF1F3864"/>
      </top>
      <bottom style="medium">
        <color rgb="FF1F3864"/>
      </bottom>
      <diagonal/>
    </border>
    <border>
      <left/>
      <right/>
      <top style="medium">
        <color rgb="FF1F3864"/>
      </top>
      <bottom style="medium">
        <color rgb="FF1F3864"/>
      </bottom>
      <diagonal/>
    </border>
    <border>
      <left/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/>
      <right/>
      <top/>
      <bottom style="thin">
        <color rgb="FF1F3864"/>
      </bottom>
      <diagonal/>
    </border>
    <border>
      <left/>
      <right/>
      <top style="thin">
        <color rgb="FF1F3864"/>
      </top>
      <bottom style="thin">
        <color rgb="FF1F3864"/>
      </bottom>
      <diagonal/>
    </border>
    <border>
      <left/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/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medium">
        <color rgb="FF1F3864"/>
      </left>
      <right/>
      <top style="thin">
        <color rgb="FF1F3864"/>
      </top>
      <bottom style="thin">
        <color rgb="FF1F38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4" fillId="2" borderId="7" xfId="0" applyFont="1" applyFill="1" applyBorder="1" applyAlignment="1">
      <alignment horizontal="left"/>
    </xf>
    <xf numFmtId="0" fontId="3" fillId="0" borderId="8" xfId="0" applyFont="1" applyBorder="1"/>
    <xf numFmtId="0" fontId="3" fillId="0" borderId="9" xfId="0" applyFont="1" applyBorder="1"/>
    <xf numFmtId="0" fontId="5" fillId="3" borderId="10" xfId="0" applyFont="1" applyFill="1" applyBorder="1" applyAlignment="1">
      <alignment horizontal="center"/>
    </xf>
    <xf numFmtId="0" fontId="3" fillId="0" borderId="10" xfId="0" applyFont="1" applyBorder="1"/>
    <xf numFmtId="0" fontId="5" fillId="3" borderId="10" xfId="0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0" fontId="3" fillId="0" borderId="12" xfId="0" applyFont="1" applyBorder="1"/>
    <xf numFmtId="164" fontId="6" fillId="4" borderId="13" xfId="0" applyNumberFormat="1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65" fontId="0" fillId="5" borderId="11" xfId="0" applyNumberFormat="1" applyFill="1" applyBorder="1" applyAlignment="1">
      <alignment horizontal="center"/>
    </xf>
    <xf numFmtId="165" fontId="4" fillId="6" borderId="13" xfId="0" applyNumberFormat="1" applyFont="1" applyFill="1" applyBorder="1" applyAlignment="1">
      <alignment horizontal="center"/>
    </xf>
    <xf numFmtId="165" fontId="0" fillId="5" borderId="12" xfId="0" applyNumberFormat="1" applyFill="1" applyBorder="1" applyAlignment="1">
      <alignment horizontal="center"/>
    </xf>
    <xf numFmtId="165" fontId="0" fillId="6" borderId="13" xfId="0" applyNumberFormat="1" applyFill="1" applyBorder="1" applyAlignment="1">
      <alignment horizontal="center"/>
    </xf>
    <xf numFmtId="165" fontId="0" fillId="5" borderId="15" xfId="0" applyNumberFormat="1" applyFill="1" applyBorder="1" applyAlignment="1">
      <alignment horizontal="center"/>
    </xf>
    <xf numFmtId="165" fontId="0" fillId="5" borderId="14" xfId="0" applyNumberFormat="1" applyFill="1" applyBorder="1" applyAlignment="1">
      <alignment horizontal="center"/>
    </xf>
    <xf numFmtId="165" fontId="4" fillId="5" borderId="11" xfId="0" applyNumberFormat="1" applyFont="1" applyFill="1" applyBorder="1" applyAlignment="1">
      <alignment horizontal="center"/>
    </xf>
    <xf numFmtId="165" fontId="4" fillId="5" borderId="13" xfId="0" applyNumberFormat="1" applyFont="1" applyFill="1" applyBorder="1" applyAlignment="1">
      <alignment horizontal="center"/>
    </xf>
    <xf numFmtId="165" fontId="4" fillId="5" borderId="14" xfId="0" applyNumberFormat="1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5" fontId="0" fillId="6" borderId="12" xfId="0" applyNumberForma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0" fillId="7" borderId="0" xfId="0" applyFill="1"/>
    <xf numFmtId="0" fontId="4" fillId="8" borderId="7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roum/Downloads/budget-marketing-annu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6">
          <cell r="D56">
            <v>3505</v>
          </cell>
          <cell r="F56">
            <v>2789</v>
          </cell>
          <cell r="H56">
            <v>6375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26"/>
  <sheetViews>
    <sheetView tabSelected="1" zoomScale="90" zoomScaleNormal="100" workbookViewId="0">
      <selection activeCell="D12" sqref="D12:E12"/>
    </sheetView>
  </sheetViews>
  <sheetFormatPr baseColWidth="10" defaultRowHeight="14.4" x14ac:dyDescent="0.3"/>
  <cols>
    <col min="10" max="10" width="11.5546875" customWidth="1"/>
    <col min="11" max="11" width="0.109375" customWidth="1"/>
    <col min="12" max="12" width="11.5546875" hidden="1" customWidth="1"/>
    <col min="13" max="13" width="0.109375" customWidth="1"/>
    <col min="14" max="17" width="11.5546875" hidden="1" customWidth="1"/>
    <col min="18" max="18" width="9.6640625" hidden="1" customWidth="1"/>
    <col min="19" max="24" width="11.5546875" hidden="1" customWidth="1"/>
    <col min="25" max="25" width="1.6640625" hidden="1" customWidth="1"/>
    <col min="26" max="29" width="11.5546875" hidden="1" customWidth="1"/>
    <col min="30" max="30" width="0.33203125" hidden="1" customWidth="1"/>
    <col min="31" max="31" width="11.44140625" hidden="1" customWidth="1"/>
  </cols>
  <sheetData>
    <row r="1" spans="1:31" x14ac:dyDescent="0.3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</row>
    <row r="3" spans="1:31" x14ac:dyDescent="0.3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31" ht="15" thickBot="1" x14ac:dyDescent="0.3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31" ht="15.6" x14ac:dyDescent="0.3">
      <c r="A5" s="1" t="s">
        <v>1</v>
      </c>
      <c r="B5" s="2"/>
      <c r="C5" s="3"/>
      <c r="D5" s="10" t="s">
        <v>2</v>
      </c>
      <c r="E5" s="11"/>
      <c r="F5" s="11"/>
      <c r="G5" s="11"/>
      <c r="H5" s="11"/>
      <c r="I5" s="11"/>
      <c r="J5" s="12"/>
    </row>
    <row r="6" spans="1:31" ht="16.2" thickBot="1" x14ac:dyDescent="0.35">
      <c r="A6" s="4"/>
      <c r="B6" s="5"/>
      <c r="C6" s="6"/>
      <c r="D6" s="13" t="s">
        <v>3</v>
      </c>
      <c r="E6" s="14"/>
      <c r="F6" s="15" t="s">
        <v>4</v>
      </c>
      <c r="G6" s="14"/>
      <c r="H6" s="15" t="s">
        <v>5</v>
      </c>
      <c r="I6" s="14"/>
      <c r="J6" s="16" t="s">
        <v>6</v>
      </c>
    </row>
    <row r="7" spans="1:31" ht="16.2" thickBot="1" x14ac:dyDescent="0.35">
      <c r="A7" s="7" t="s">
        <v>7</v>
      </c>
      <c r="B7" s="8"/>
      <c r="C7" s="9"/>
      <c r="D7" s="24">
        <f>SUM(D8:D11)</f>
        <v>16425</v>
      </c>
      <c r="E7" s="14"/>
      <c r="F7" s="19">
        <f>SUM(F8:F11)</f>
        <v>16425</v>
      </c>
      <c r="G7" s="14"/>
      <c r="H7" s="25"/>
      <c r="I7" s="14"/>
      <c r="J7" s="26">
        <f>SUM(D7,F7,H7)</f>
        <v>32850</v>
      </c>
    </row>
    <row r="8" spans="1:31" ht="16.2" thickBot="1" x14ac:dyDescent="0.35">
      <c r="A8" s="17" t="s">
        <v>8</v>
      </c>
      <c r="B8" s="2"/>
      <c r="C8" s="3"/>
      <c r="D8" s="18">
        <v>4508</v>
      </c>
      <c r="E8" s="14"/>
      <c r="F8" s="21">
        <v>4508</v>
      </c>
      <c r="G8" s="14"/>
      <c r="H8" s="18"/>
      <c r="I8" s="14"/>
      <c r="J8" s="23">
        <f t="shared" ref="J8:J11" si="0">SUM(H8,F8,D8)</f>
        <v>9016</v>
      </c>
    </row>
    <row r="9" spans="1:31" ht="16.2" thickBot="1" x14ac:dyDescent="0.35">
      <c r="A9" s="17" t="s">
        <v>9</v>
      </c>
      <c r="B9" s="2"/>
      <c r="C9" s="3"/>
      <c r="D9" s="22">
        <v>2590</v>
      </c>
      <c r="E9" s="20"/>
      <c r="F9" s="21">
        <v>2590</v>
      </c>
      <c r="G9" s="14"/>
      <c r="H9" s="18"/>
      <c r="I9" s="14"/>
      <c r="J9" s="23">
        <f t="shared" si="0"/>
        <v>5180</v>
      </c>
    </row>
    <row r="10" spans="1:31" ht="16.2" thickBot="1" x14ac:dyDescent="0.35">
      <c r="A10" s="17" t="s">
        <v>10</v>
      </c>
      <c r="B10" s="2"/>
      <c r="C10" s="3"/>
      <c r="D10" s="22">
        <v>2590</v>
      </c>
      <c r="E10" s="20"/>
      <c r="F10" s="21">
        <v>2590</v>
      </c>
      <c r="G10" s="14"/>
      <c r="H10" s="22"/>
      <c r="I10" s="20"/>
      <c r="J10" s="23">
        <f t="shared" si="0"/>
        <v>5180</v>
      </c>
    </row>
    <row r="11" spans="1:31" ht="16.2" thickBot="1" x14ac:dyDescent="0.35">
      <c r="A11" s="17" t="s">
        <v>11</v>
      </c>
      <c r="B11" s="2"/>
      <c r="C11" s="3"/>
      <c r="D11" s="22">
        <v>6737</v>
      </c>
      <c r="E11" s="20"/>
      <c r="F11" s="21">
        <v>6737</v>
      </c>
      <c r="G11" s="14"/>
      <c r="H11" s="22"/>
      <c r="I11" s="20"/>
      <c r="J11" s="23">
        <f t="shared" si="0"/>
        <v>13474</v>
      </c>
    </row>
    <row r="12" spans="1:31" ht="16.2" thickBot="1" x14ac:dyDescent="0.35">
      <c r="A12" s="7" t="s">
        <v>12</v>
      </c>
      <c r="B12" s="8"/>
      <c r="C12" s="9"/>
      <c r="D12" s="24">
        <f>SUM(D13:D15)</f>
        <v>2400</v>
      </c>
      <c r="E12" s="14"/>
      <c r="F12" s="19">
        <f>SUM(F13:F16)</f>
        <v>52500</v>
      </c>
      <c r="G12" s="14"/>
      <c r="H12" s="24">
        <f>SUM(H13:H15)</f>
        <v>0</v>
      </c>
      <c r="I12" s="14"/>
      <c r="J12" s="26">
        <f>SUM(H12,F12,D12)</f>
        <v>54900</v>
      </c>
    </row>
    <row r="13" spans="1:31" ht="16.2" thickBot="1" x14ac:dyDescent="0.35">
      <c r="A13" s="17" t="s">
        <v>13</v>
      </c>
      <c r="B13" s="2"/>
      <c r="C13" s="3"/>
      <c r="D13" s="18">
        <f>4*600</f>
        <v>2400</v>
      </c>
      <c r="E13" s="14"/>
      <c r="F13" s="21"/>
      <c r="G13" s="29"/>
      <c r="H13" s="18"/>
      <c r="I13" s="14"/>
      <c r="J13" s="23">
        <f t="shared" ref="J13:J21" si="1">SUM(D13,F13,H13)</f>
        <v>2400</v>
      </c>
    </row>
    <row r="14" spans="1:31" ht="16.2" thickBot="1" x14ac:dyDescent="0.35">
      <c r="A14" s="17" t="s">
        <v>14</v>
      </c>
      <c r="B14" s="27"/>
      <c r="C14" s="28"/>
      <c r="D14" s="18"/>
      <c r="E14" s="14"/>
      <c r="F14" s="21">
        <v>30000</v>
      </c>
      <c r="G14" s="14"/>
      <c r="H14" s="18"/>
      <c r="I14" s="14"/>
      <c r="J14" s="23">
        <f t="shared" si="1"/>
        <v>30000</v>
      </c>
    </row>
    <row r="15" spans="1:31" ht="16.2" thickBot="1" x14ac:dyDescent="0.35">
      <c r="A15" s="17" t="s">
        <v>15</v>
      </c>
      <c r="B15" s="27"/>
      <c r="C15" s="28"/>
      <c r="D15" s="18"/>
      <c r="E15" s="14"/>
      <c r="F15" s="21">
        <v>21600</v>
      </c>
      <c r="G15" s="14"/>
      <c r="H15" s="18"/>
      <c r="I15" s="14"/>
      <c r="J15" s="23">
        <f t="shared" si="1"/>
        <v>21600</v>
      </c>
    </row>
    <row r="16" spans="1:31" ht="16.2" thickBot="1" x14ac:dyDescent="0.35">
      <c r="A16" s="17" t="s">
        <v>16</v>
      </c>
      <c r="B16" s="27"/>
      <c r="C16" s="28"/>
      <c r="D16" s="18"/>
      <c r="E16" s="14"/>
      <c r="F16" s="21">
        <f>150*6</f>
        <v>900</v>
      </c>
      <c r="G16" s="14"/>
      <c r="H16" s="18"/>
      <c r="I16" s="14"/>
      <c r="J16" s="23">
        <f t="shared" si="1"/>
        <v>900</v>
      </c>
    </row>
    <row r="17" spans="1:10" ht="16.2" thickBot="1" x14ac:dyDescent="0.35">
      <c r="A17" s="7" t="s">
        <v>18</v>
      </c>
      <c r="B17" s="8"/>
      <c r="C17" s="9"/>
      <c r="D17" s="24">
        <f>SUM(D18:D20)</f>
        <v>0</v>
      </c>
      <c r="E17" s="14"/>
      <c r="F17" s="19">
        <f>SUM(F18:F21)</f>
        <v>0</v>
      </c>
      <c r="G17" s="14"/>
      <c r="H17" s="24">
        <f>SUM(H18:H21)</f>
        <v>737</v>
      </c>
      <c r="I17" s="14"/>
      <c r="J17" s="26">
        <f>SUM(H17,F17,D17)</f>
        <v>737</v>
      </c>
    </row>
    <row r="18" spans="1:10" ht="16.2" thickBot="1" x14ac:dyDescent="0.35">
      <c r="A18" s="17" t="s">
        <v>19</v>
      </c>
      <c r="B18" s="27"/>
      <c r="C18" s="28"/>
      <c r="D18" s="18"/>
      <c r="E18" s="14"/>
      <c r="F18" s="21"/>
      <c r="G18" s="29"/>
      <c r="H18" s="18">
        <v>500</v>
      </c>
      <c r="I18" s="14"/>
      <c r="J18" s="23">
        <f t="shared" si="1"/>
        <v>500</v>
      </c>
    </row>
    <row r="19" spans="1:10" ht="16.2" thickBot="1" x14ac:dyDescent="0.35">
      <c r="A19" s="17" t="s">
        <v>20</v>
      </c>
      <c r="B19" s="27"/>
      <c r="C19" s="28"/>
      <c r="D19" s="18"/>
      <c r="E19" s="14"/>
      <c r="F19" s="21"/>
      <c r="G19" s="29"/>
      <c r="H19" s="18">
        <v>200</v>
      </c>
      <c r="I19" s="14"/>
      <c r="J19" s="23">
        <f t="shared" si="1"/>
        <v>200</v>
      </c>
    </row>
    <row r="20" spans="1:10" ht="16.2" thickBot="1" x14ac:dyDescent="0.35">
      <c r="A20" s="17" t="s">
        <v>21</v>
      </c>
      <c r="B20" s="27"/>
      <c r="C20" s="28"/>
      <c r="D20" s="18"/>
      <c r="E20" s="14"/>
      <c r="F20" s="21"/>
      <c r="G20" s="29"/>
      <c r="H20" s="18">
        <v>12</v>
      </c>
      <c r="I20" s="14"/>
      <c r="J20" s="23">
        <f t="shared" si="1"/>
        <v>12</v>
      </c>
    </row>
    <row r="21" spans="1:10" ht="16.2" thickBot="1" x14ac:dyDescent="0.35">
      <c r="A21" s="17" t="s">
        <v>22</v>
      </c>
      <c r="B21" s="27"/>
      <c r="C21" s="28"/>
      <c r="D21" s="18"/>
      <c r="E21" s="14"/>
      <c r="F21" s="21"/>
      <c r="G21" s="29"/>
      <c r="H21" s="18">
        <v>25</v>
      </c>
      <c r="I21" s="14"/>
      <c r="J21" s="23">
        <f>SUM(D21,F21,H21)</f>
        <v>25</v>
      </c>
    </row>
    <row r="22" spans="1:10" ht="16.2" thickBot="1" x14ac:dyDescent="0.35">
      <c r="A22" s="7" t="s">
        <v>17</v>
      </c>
      <c r="B22" s="8"/>
      <c r="C22" s="9"/>
      <c r="D22" s="24">
        <f>SUM(D23:D25)</f>
        <v>1196</v>
      </c>
      <c r="E22" s="14"/>
      <c r="F22" s="19">
        <f>SUM(F23:F25)</f>
        <v>2596</v>
      </c>
      <c r="G22" s="14"/>
      <c r="H22" s="24">
        <f>SUM(H23:H26)</f>
        <v>737</v>
      </c>
      <c r="I22" s="14"/>
      <c r="J22" s="26">
        <f>SUM(H22,F22,D22)</f>
        <v>4529</v>
      </c>
    </row>
    <row r="23" spans="1:10" ht="16.2" thickBot="1" x14ac:dyDescent="0.35">
      <c r="A23" s="17" t="s">
        <v>23</v>
      </c>
      <c r="B23" s="27"/>
      <c r="C23" s="28"/>
      <c r="D23" s="18"/>
      <c r="E23" s="14"/>
      <c r="F23" s="21">
        <v>200</v>
      </c>
      <c r="G23" s="29"/>
      <c r="H23" s="18"/>
      <c r="I23" s="14"/>
      <c r="J23" s="23">
        <f>SUM(D23,F23,H23)</f>
        <v>200</v>
      </c>
    </row>
    <row r="24" spans="1:10" ht="16.2" thickBot="1" x14ac:dyDescent="0.35">
      <c r="A24" s="17" t="s">
        <v>24</v>
      </c>
      <c r="B24" s="27"/>
      <c r="C24" s="28"/>
      <c r="D24" s="18">
        <v>1196</v>
      </c>
      <c r="E24" s="14"/>
      <c r="F24" s="21">
        <v>1196</v>
      </c>
      <c r="G24" s="29"/>
      <c r="H24" s="18"/>
      <c r="I24" s="14"/>
      <c r="J24" s="23">
        <f t="shared" ref="J24:J25" si="2">SUM(D24,F24,H24)</f>
        <v>2392</v>
      </c>
    </row>
    <row r="25" spans="1:10" ht="16.2" thickBot="1" x14ac:dyDescent="0.35">
      <c r="A25" s="17" t="s">
        <v>25</v>
      </c>
      <c r="B25" s="27"/>
      <c r="C25" s="28"/>
      <c r="D25" s="18"/>
      <c r="E25" s="14"/>
      <c r="F25" s="21">
        <v>1200</v>
      </c>
      <c r="G25" s="29"/>
      <c r="H25" s="18"/>
      <c r="I25" s="14"/>
      <c r="J25" s="23">
        <f t="shared" si="2"/>
        <v>1200</v>
      </c>
    </row>
    <row r="26" spans="1:10" ht="16.2" thickBot="1" x14ac:dyDescent="0.35">
      <c r="A26" s="32" t="s">
        <v>26</v>
      </c>
      <c r="B26" s="8"/>
      <c r="C26" s="9"/>
      <c r="D26" s="24">
        <f>SUM(D7,D12,D17,D22)</f>
        <v>20021</v>
      </c>
      <c r="E26" s="14"/>
      <c r="F26" s="19">
        <f>SUM(F7,F12,F17,F22)</f>
        <v>71521</v>
      </c>
      <c r="G26" s="14"/>
      <c r="H26" s="24">
        <f>SUM(H7,H12,H17)</f>
        <v>737</v>
      </c>
      <c r="I26" s="14"/>
      <c r="J26" s="26">
        <f>SUM(H26,F26,D26)</f>
        <v>92279</v>
      </c>
    </row>
  </sheetData>
  <mergeCells count="86">
    <mergeCell ref="A25:C25"/>
    <mergeCell ref="D25:E25"/>
    <mergeCell ref="F25:G25"/>
    <mergeCell ref="H25:I25"/>
    <mergeCell ref="A26:C26"/>
    <mergeCell ref="D26:E26"/>
    <mergeCell ref="F26:G26"/>
    <mergeCell ref="H26:I26"/>
    <mergeCell ref="A23:C23"/>
    <mergeCell ref="D23:E23"/>
    <mergeCell ref="F23:G23"/>
    <mergeCell ref="H23:I23"/>
    <mergeCell ref="A24:C24"/>
    <mergeCell ref="D24:E24"/>
    <mergeCell ref="F24:G24"/>
    <mergeCell ref="H24:I24"/>
    <mergeCell ref="A21:C21"/>
    <mergeCell ref="D21:E21"/>
    <mergeCell ref="F21:G21"/>
    <mergeCell ref="H21:I21"/>
    <mergeCell ref="A22:C22"/>
    <mergeCell ref="D22:E22"/>
    <mergeCell ref="F22:G22"/>
    <mergeCell ref="H22:I22"/>
    <mergeCell ref="A19:C19"/>
    <mergeCell ref="D19:E19"/>
    <mergeCell ref="H19:I19"/>
    <mergeCell ref="F19:G19"/>
    <mergeCell ref="A20:C20"/>
    <mergeCell ref="D20:E20"/>
    <mergeCell ref="F20:G20"/>
    <mergeCell ref="H20:I20"/>
    <mergeCell ref="A17:C17"/>
    <mergeCell ref="D17:E17"/>
    <mergeCell ref="F17:G17"/>
    <mergeCell ref="H17:I17"/>
    <mergeCell ref="A18:C18"/>
    <mergeCell ref="D18:E18"/>
    <mergeCell ref="F18:G18"/>
    <mergeCell ref="H18:I18"/>
    <mergeCell ref="A15:C15"/>
    <mergeCell ref="D15:E15"/>
    <mergeCell ref="F15:G15"/>
    <mergeCell ref="H15:I15"/>
    <mergeCell ref="A16:C16"/>
    <mergeCell ref="D16:E16"/>
    <mergeCell ref="F16:G16"/>
    <mergeCell ref="H16:I16"/>
    <mergeCell ref="H13:I13"/>
    <mergeCell ref="A14:C14"/>
    <mergeCell ref="D14:E14"/>
    <mergeCell ref="F14:G14"/>
    <mergeCell ref="H14:I14"/>
    <mergeCell ref="D11:E11"/>
    <mergeCell ref="F11:G11"/>
    <mergeCell ref="H11:I11"/>
    <mergeCell ref="A12:C12"/>
    <mergeCell ref="A13:C13"/>
    <mergeCell ref="D13:E13"/>
    <mergeCell ref="D12:E12"/>
    <mergeCell ref="F12:G12"/>
    <mergeCell ref="H12:I12"/>
    <mergeCell ref="F13:G13"/>
    <mergeCell ref="F10:G10"/>
    <mergeCell ref="H8:I8"/>
    <mergeCell ref="H9:I9"/>
    <mergeCell ref="H10:I10"/>
    <mergeCell ref="D7:E7"/>
    <mergeCell ref="F7:G7"/>
    <mergeCell ref="H7:I7"/>
    <mergeCell ref="H6:I6"/>
    <mergeCell ref="A8:C8"/>
    <mergeCell ref="A9:C9"/>
    <mergeCell ref="A10:C10"/>
    <mergeCell ref="A11:C11"/>
    <mergeCell ref="D8:E8"/>
    <mergeCell ref="D9:E9"/>
    <mergeCell ref="D10:E10"/>
    <mergeCell ref="F8:G8"/>
    <mergeCell ref="F9:G9"/>
    <mergeCell ref="A1:AE4"/>
    <mergeCell ref="A5:C6"/>
    <mergeCell ref="A7:C7"/>
    <mergeCell ref="D5:I5"/>
    <mergeCell ref="D6:E6"/>
    <mergeCell ref="F6:G6"/>
  </mergeCells>
  <pageMargins left="0.7" right="0.7" top="0.75" bottom="0.75" header="0.3" footer="0.3"/>
  <ignoredErrors>
    <ignoredError sqref="F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Inès Roumier</dc:creator>
  <cp:lastModifiedBy>Inès Roumier</cp:lastModifiedBy>
  <dcterms:created xsi:type="dcterms:W3CDTF">2022-06-29T14:11:32Z</dcterms:created>
  <dcterms:modified xsi:type="dcterms:W3CDTF">2022-06-29T22:17:45Z</dcterms:modified>
</cp:coreProperties>
</file>